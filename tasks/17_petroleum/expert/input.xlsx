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/ns0: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3660" tabRatio="600" firstSheet="0" activeTab="1" autoFilterDateGrouping="1"/>
  </bookViews>
  <sheets>
    <sheet name="9月" sheetId="1" state="visible" r:id="rId1"/>
    <sheet name="8月" sheetId="2" state="visible" r:id="rId2"/>
    <sheet name="7月" sheetId="3" state="visible" r:id="rId3"/>
    <sheet name="6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5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微软雅黑"/>
      <charset val="134"/>
      <b val="1"/>
      <color rgb="FFFFFFFF"/>
      <sz val="18"/>
    </font>
    <font>
      <name val="微软雅黑"/>
      <charset val="134"/>
      <color rgb="FF000000"/>
      <sz val="18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4" fillId="0" borderId="0" applyAlignment="1">
      <alignment vertical="center"/>
    </xf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24" fillId="9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10" borderId="7" applyAlignment="1">
      <alignment vertical="center"/>
    </xf>
    <xf numFmtId="0" fontId="14" fillId="11" borderId="8" applyAlignment="1">
      <alignment vertical="center"/>
    </xf>
    <xf numFmtId="0" fontId="15" fillId="11" borderId="7" applyAlignment="1">
      <alignment vertical="center"/>
    </xf>
    <xf numFmtId="0" fontId="16" fillId="12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2" fillId="39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 readingOrder="1"/>
    </xf>
    <xf numFmtId="0" fontId="3" fillId="5" borderId="2" applyAlignment="1" pivotButton="0" quotePrefix="0" xfId="0">
      <alignment horizontal="center" vertical="center" wrapText="1" readingOrder="1"/>
    </xf>
    <xf numFmtId="0" fontId="3" fillId="6" borderId="3" applyAlignment="1" pivotButton="0" quotePrefix="0" xfId="0">
      <alignment horizontal="center" vertical="center" wrapText="1" readingOrder="1"/>
    </xf>
    <xf numFmtId="0" fontId="3" fillId="5" borderId="3" applyAlignment="1" pivotButton="0" quotePrefix="0" xfId="0">
      <alignment horizontal="center" vertical="center" wrapText="1" readingOrder="1"/>
    </xf>
    <xf numFmtId="0" fontId="1" fillId="7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activeCell="A1" sqref="A1"/>
      <selection pane="bottomLeft" activeCell="O18" sqref="O18"/>
    </sheetView>
  </sheetViews>
  <sheetFormatPr baseColWidth="8" defaultColWidth="9" defaultRowHeight="16.8"/>
  <cols>
    <col width="14.125" customWidth="1" style="18" min="1" max="1"/>
    <col width="12.625" customWidth="1" style="18" min="9" max="9"/>
  </cols>
  <sheetData>
    <row r="1">
      <c r="A1" s="2" t="inlineStr">
        <is>
          <t>主产品</t>
        </is>
      </c>
      <c r="B1" s="2" t="inlineStr">
        <is>
          <t>变量</t>
        </is>
      </c>
      <c r="C1" s="2" t="inlineStr">
        <is>
          <t>最大产能</t>
        </is>
      </c>
      <c r="D1" s="2" t="inlineStr">
        <is>
          <t>最大库存</t>
        </is>
      </c>
      <c r="E1" s="2" t="inlineStr">
        <is>
          <t>最小库存</t>
        </is>
      </c>
      <c r="F1" s="2" t="inlineStr">
        <is>
          <t>期初库存</t>
        </is>
      </c>
      <c r="G1" s="2" t="inlineStr">
        <is>
          <t>销售量</t>
        </is>
      </c>
      <c r="H1" s="2" t="inlineStr">
        <is>
          <t>销售价</t>
        </is>
      </c>
      <c r="I1" s="2" t="inlineStr">
        <is>
          <t>单位制造成本</t>
        </is>
      </c>
      <c r="J1" s="2" t="inlineStr">
        <is>
          <t>计划产能</t>
        </is>
      </c>
    </row>
    <row r="2">
      <c r="A2" s="2" t="inlineStr">
        <is>
          <t>M01</t>
        </is>
      </c>
      <c r="B2" s="2" t="inlineStr">
        <is>
          <t>x1</t>
        </is>
      </c>
      <c r="C2" s="5" t="n">
        <v>10500</v>
      </c>
      <c r="D2" s="5" t="n">
        <v>3800</v>
      </c>
      <c r="E2" s="5" t="n">
        <v>400</v>
      </c>
      <c r="F2" s="5" t="n">
        <v>3694.84</v>
      </c>
      <c r="G2" s="5" t="n">
        <v>7700</v>
      </c>
      <c r="H2" s="5" t="n">
        <v>2300</v>
      </c>
      <c r="I2" s="5" t="n">
        <v>1304.35</v>
      </c>
      <c r="J2" s="5" t="n">
        <v>8700</v>
      </c>
      <c r="K2" s="5" t="n"/>
    </row>
    <row r="3">
      <c r="A3" s="2" t="inlineStr">
        <is>
          <t>M02</t>
        </is>
      </c>
      <c r="B3" s="2" t="inlineStr">
        <is>
          <t>x2</t>
        </is>
      </c>
      <c r="C3" s="5" t="n">
        <v>3000</v>
      </c>
      <c r="D3" s="5" t="n">
        <v>200</v>
      </c>
      <c r="E3" s="5" t="n">
        <v>25</v>
      </c>
      <c r="F3" s="5" t="n">
        <v>0</v>
      </c>
      <c r="G3" s="5" t="n">
        <v>1100</v>
      </c>
      <c r="H3" s="5" t="n">
        <v>69.3</v>
      </c>
      <c r="I3" s="4" t="n">
        <v>357.54</v>
      </c>
      <c r="J3" s="5" t="n">
        <v>2400</v>
      </c>
      <c r="K3" s="5">
        <f>J3*0.31</f>
        <v/>
      </c>
    </row>
    <row r="4">
      <c r="A4" s="2" t="inlineStr">
        <is>
          <t>M03</t>
        </is>
      </c>
      <c r="B4" s="2" t="inlineStr">
        <is>
          <t>x3</t>
        </is>
      </c>
      <c r="C4" s="5" t="n">
        <v>3000</v>
      </c>
      <c r="D4" s="5" t="n">
        <v>23</v>
      </c>
      <c r="E4" s="5" t="n">
        <v>0</v>
      </c>
      <c r="F4" s="5" t="n">
        <v>15</v>
      </c>
      <c r="G4" s="5" t="n">
        <v>620</v>
      </c>
      <c r="H4" s="5" t="n">
        <v>216</v>
      </c>
      <c r="I4" s="5" t="n">
        <v>829.54</v>
      </c>
      <c r="J4" s="5" t="n">
        <v>620</v>
      </c>
      <c r="K4" s="5">
        <f>K3+J4</f>
        <v/>
      </c>
    </row>
    <row r="5">
      <c r="A5" s="2" t="inlineStr">
        <is>
          <t>M04</t>
        </is>
      </c>
      <c r="B5" s="2" t="inlineStr">
        <is>
          <t>x4</t>
        </is>
      </c>
      <c r="C5" s="5" t="n">
        <v>6000</v>
      </c>
      <c r="D5" s="5" t="n">
        <v>200</v>
      </c>
      <c r="E5" s="5" t="n">
        <v>0</v>
      </c>
      <c r="F5" s="5" t="n">
        <v>80</v>
      </c>
      <c r="G5" s="5" t="n">
        <v>4000</v>
      </c>
      <c r="H5" s="5" t="n">
        <v>486</v>
      </c>
      <c r="I5" s="5" t="n">
        <v>369.9</v>
      </c>
      <c r="J5" s="5" t="n">
        <v>4050</v>
      </c>
      <c r="K5" s="5" t="n"/>
    </row>
    <row r="6">
      <c r="A6" s="2" t="inlineStr">
        <is>
          <t>M05</t>
        </is>
      </c>
      <c r="B6" s="2" t="inlineStr">
        <is>
          <t>x5</t>
        </is>
      </c>
      <c r="C6" s="5" t="n">
        <v>4700</v>
      </c>
      <c r="D6" s="5" t="n">
        <v>180</v>
      </c>
      <c r="E6" s="5" t="n">
        <v>0</v>
      </c>
      <c r="F6" s="5" t="n">
        <v>72</v>
      </c>
      <c r="G6" s="5" t="n">
        <v>1259</v>
      </c>
      <c r="H6" s="5" t="n">
        <v>9700</v>
      </c>
      <c r="I6" s="5" t="n">
        <v>7579.77</v>
      </c>
      <c r="J6" s="5" t="n">
        <v>4450</v>
      </c>
      <c r="K6" s="5" t="n"/>
    </row>
    <row r="7">
      <c r="A7" s="2" t="inlineStr">
        <is>
          <t>M06</t>
        </is>
      </c>
      <c r="B7" s="2" t="inlineStr">
        <is>
          <t>x6</t>
        </is>
      </c>
      <c r="C7" s="14" t="n">
        <v>300</v>
      </c>
      <c r="D7" s="14" t="n">
        <v>400</v>
      </c>
      <c r="E7" s="14" t="n">
        <v>0</v>
      </c>
      <c r="F7" s="14" t="n">
        <v>0</v>
      </c>
      <c r="G7" s="14" t="n">
        <v>100</v>
      </c>
      <c r="H7" s="14" t="n">
        <v>9020</v>
      </c>
      <c r="I7" s="14" t="n">
        <v>8208.74</v>
      </c>
      <c r="J7" s="14" t="n">
        <v>0</v>
      </c>
      <c r="K7" s="5" t="n"/>
    </row>
    <row r="8">
      <c r="A8" s="2" t="inlineStr">
        <is>
          <t>M07</t>
        </is>
      </c>
      <c r="B8" s="2" t="inlineStr">
        <is>
          <t>x7</t>
        </is>
      </c>
      <c r="C8" s="14" t="n">
        <v>1500</v>
      </c>
      <c r="D8" s="14" t="n">
        <v>600</v>
      </c>
      <c r="E8" s="14" t="n">
        <v>0</v>
      </c>
      <c r="F8" s="14" t="n">
        <v>115.8</v>
      </c>
      <c r="G8" s="14" t="n">
        <v>0</v>
      </c>
      <c r="H8" s="14" t="n">
        <v>0</v>
      </c>
      <c r="I8" s="14" t="n">
        <v>10096.59</v>
      </c>
      <c r="J8" s="14" t="n">
        <v>200</v>
      </c>
      <c r="K8" s="5" t="n"/>
    </row>
    <row r="9">
      <c r="A9" s="2" t="inlineStr">
        <is>
          <t>M08</t>
        </is>
      </c>
      <c r="B9" s="2" t="inlineStr">
        <is>
          <t>x8</t>
        </is>
      </c>
      <c r="C9" s="14" t="n">
        <v>1000</v>
      </c>
      <c r="D9" s="14" t="n">
        <v>500</v>
      </c>
      <c r="E9" s="14" t="n">
        <v>0</v>
      </c>
      <c r="F9" s="14" t="n">
        <v>10</v>
      </c>
      <c r="G9" s="14" t="n">
        <v>400</v>
      </c>
      <c r="H9" s="14" t="n">
        <v>10780</v>
      </c>
      <c r="I9" s="14" t="n">
        <v>10676.75</v>
      </c>
      <c r="J9" s="14" t="n">
        <v>400</v>
      </c>
      <c r="K9" s="5" t="n"/>
    </row>
    <row r="10">
      <c r="A10" s="2" t="inlineStr">
        <is>
          <t>M09</t>
        </is>
      </c>
      <c r="B10" s="2" t="inlineStr">
        <is>
          <t>x9</t>
        </is>
      </c>
      <c r="C10" s="14" t="n">
        <v>1500</v>
      </c>
      <c r="D10" s="14" t="n">
        <v>500</v>
      </c>
      <c r="E10" s="14" t="n">
        <v>0</v>
      </c>
      <c r="F10" s="14" t="n">
        <v>0</v>
      </c>
      <c r="G10" s="14" t="n">
        <v>300</v>
      </c>
      <c r="H10" s="14" t="n">
        <v>10300</v>
      </c>
      <c r="I10" s="14" t="n">
        <v>9500.41</v>
      </c>
      <c r="J10" s="14" t="n">
        <v>300</v>
      </c>
      <c r="K10" s="5" t="n"/>
    </row>
    <row r="11">
      <c r="A11" s="2" t="inlineStr">
        <is>
          <t>M10</t>
        </is>
      </c>
      <c r="B11" s="2" t="inlineStr">
        <is>
          <t>x10</t>
        </is>
      </c>
      <c r="C11" s="14" t="n">
        <v>1500</v>
      </c>
      <c r="D11" s="14" t="n">
        <v>600</v>
      </c>
      <c r="E11" s="14" t="n">
        <v>0</v>
      </c>
      <c r="F11" s="14" t="n">
        <v>29.8</v>
      </c>
      <c r="G11" s="14" t="n">
        <v>0</v>
      </c>
      <c r="H11" s="14" t="n">
        <v>8470</v>
      </c>
      <c r="I11" s="14" t="n">
        <v>7765.92</v>
      </c>
      <c r="J11" s="14" t="n">
        <v>0</v>
      </c>
      <c r="K11" s="5" t="n"/>
    </row>
    <row r="12">
      <c r="A12" s="2" t="inlineStr">
        <is>
          <t>M11</t>
        </is>
      </c>
      <c r="B12" s="2" t="inlineStr">
        <is>
          <t>x11</t>
        </is>
      </c>
      <c r="C12" s="14" t="n">
        <v>3300</v>
      </c>
      <c r="D12" s="14" t="n">
        <v>1000</v>
      </c>
      <c r="E12" s="14" t="n">
        <v>0</v>
      </c>
      <c r="F12" s="14" t="n">
        <v>400.22</v>
      </c>
      <c r="G12" s="14" t="n">
        <v>2480</v>
      </c>
      <c r="H12" s="14" t="n">
        <v>10100</v>
      </c>
      <c r="I12" s="14" t="n">
        <v>9002.92</v>
      </c>
      <c r="J12" s="14" t="n">
        <v>2480</v>
      </c>
      <c r="K12" s="5" t="n"/>
    </row>
    <row r="13">
      <c r="A13" s="2" t="inlineStr">
        <is>
          <t>M12</t>
        </is>
      </c>
      <c r="B13" s="2" t="inlineStr">
        <is>
          <t>x12</t>
        </is>
      </c>
      <c r="C13" s="14" t="n">
        <v>1800</v>
      </c>
      <c r="D13" s="14" t="n">
        <v>1000</v>
      </c>
      <c r="E13" s="14" t="n">
        <v>0</v>
      </c>
      <c r="F13" s="14" t="n">
        <v>0</v>
      </c>
      <c r="G13" s="14" t="n">
        <v>0</v>
      </c>
      <c r="H13" s="14" t="n">
        <v>10100</v>
      </c>
      <c r="I13" s="14" t="n">
        <v>9136.639999999999</v>
      </c>
      <c r="J13" s="14" t="n">
        <v>0</v>
      </c>
      <c r="K13" s="5" t="n"/>
    </row>
    <row r="14">
      <c r="A14" s="2" t="inlineStr">
        <is>
          <t>M13</t>
        </is>
      </c>
      <c r="B14" s="2" t="inlineStr">
        <is>
          <t>x13</t>
        </is>
      </c>
      <c r="C14" s="14" t="n">
        <v>1800</v>
      </c>
      <c r="D14" s="14" t="n">
        <v>200</v>
      </c>
      <c r="E14" s="14" t="n">
        <v>0</v>
      </c>
      <c r="F14" s="14" t="n">
        <v>0</v>
      </c>
      <c r="G14" s="14" t="n">
        <v>120</v>
      </c>
      <c r="H14" s="14" t="n">
        <v>10100</v>
      </c>
      <c r="I14" s="14" t="n">
        <v>9047.700000000001</v>
      </c>
      <c r="J14" s="14" t="n">
        <v>0</v>
      </c>
      <c r="K14" s="5" t="n"/>
    </row>
    <row r="15">
      <c r="A15" s="2" t="inlineStr">
        <is>
          <t>M14</t>
        </is>
      </c>
      <c r="B15" s="2" t="inlineStr">
        <is>
          <t>X14</t>
        </is>
      </c>
      <c r="C15" s="4" t="n">
        <v>4000</v>
      </c>
      <c r="D15" s="5" t="n">
        <v>2300</v>
      </c>
      <c r="E15" s="5" t="n">
        <v>100</v>
      </c>
      <c r="F15" s="5" t="n">
        <v>155.18</v>
      </c>
      <c r="G15" s="4" t="n">
        <v>100</v>
      </c>
      <c r="H15" s="4" t="n">
        <v>8650</v>
      </c>
      <c r="I15" s="4" t="n">
        <v>9420.08</v>
      </c>
      <c r="J15" s="5" t="n">
        <v>3000</v>
      </c>
      <c r="K15" s="5" t="n"/>
    </row>
    <row r="16">
      <c r="A16" s="2" t="inlineStr">
        <is>
          <t>M15</t>
        </is>
      </c>
      <c r="B16" s="2" t="inlineStr">
        <is>
          <t>x15</t>
        </is>
      </c>
      <c r="C16" s="5" t="n">
        <v>7000</v>
      </c>
      <c r="D16" s="5" t="n">
        <v>900</v>
      </c>
      <c r="E16" s="5" t="n">
        <v>0</v>
      </c>
      <c r="F16" s="5" t="n">
        <v>1.5</v>
      </c>
      <c r="G16" s="5" t="n">
        <v>6000</v>
      </c>
      <c r="H16" s="5" t="n">
        <v>8400</v>
      </c>
      <c r="I16" s="5" t="n">
        <v>6995.79</v>
      </c>
      <c r="J16" s="5" t="n">
        <v>6000</v>
      </c>
      <c r="K16" s="5" t="n"/>
    </row>
    <row r="17">
      <c r="A17" s="8" t="inlineStr">
        <is>
          <t>M16</t>
        </is>
      </c>
      <c r="B17" s="8" t="inlineStr">
        <is>
          <t>X16</t>
        </is>
      </c>
      <c r="C17" s="15" t="n">
        <v>450</v>
      </c>
      <c r="D17" s="15" t="n">
        <v>0</v>
      </c>
      <c r="E17" s="15" t="n">
        <v>0</v>
      </c>
      <c r="F17" s="15" t="n">
        <v>84.67</v>
      </c>
      <c r="G17" s="15" t="n">
        <v>420</v>
      </c>
      <c r="H17" s="15" t="n">
        <v>10780</v>
      </c>
      <c r="I17" s="15" t="n">
        <v>0</v>
      </c>
      <c r="J17" s="15" t="n">
        <v>420</v>
      </c>
      <c r="K17" s="5" t="n"/>
    </row>
    <row r="18">
      <c r="A18" s="8" t="inlineStr">
        <is>
          <t>M17</t>
        </is>
      </c>
      <c r="B18" s="8" t="inlineStr">
        <is>
          <t>X17</t>
        </is>
      </c>
      <c r="C18" s="15" t="n">
        <v>300</v>
      </c>
      <c r="D18" s="4" t="n">
        <v>0</v>
      </c>
      <c r="E18" s="4" t="n">
        <v>0</v>
      </c>
      <c r="F18" s="4" t="n">
        <v>0</v>
      </c>
      <c r="G18" s="4" t="n">
        <v>0</v>
      </c>
      <c r="H18" s="15" t="n">
        <v>19000</v>
      </c>
      <c r="I18" s="4" t="n">
        <v>0</v>
      </c>
      <c r="J18" s="17" t="n">
        <v>0</v>
      </c>
      <c r="K18" s="5" t="n"/>
    </row>
    <row r="19">
      <c r="A19" s="8" t="inlineStr">
        <is>
          <t>M18</t>
        </is>
      </c>
      <c r="B19" s="8" t="inlineStr">
        <is>
          <t>X18</t>
        </is>
      </c>
      <c r="C19" s="15" t="n">
        <v>9660</v>
      </c>
      <c r="D19" s="4" t="n">
        <v>0</v>
      </c>
      <c r="E19" s="4" t="n">
        <v>0</v>
      </c>
      <c r="F19" s="4" t="n">
        <v>0</v>
      </c>
      <c r="G19" s="4" t="n">
        <v>0</v>
      </c>
      <c r="H19" s="15" t="n">
        <v>297</v>
      </c>
      <c r="I19" s="4" t="n">
        <v>0</v>
      </c>
      <c r="J19" s="17" t="n">
        <v>0</v>
      </c>
      <c r="K19" s="5" t="n"/>
    </row>
    <row r="20">
      <c r="A20" s="2" t="inlineStr">
        <is>
          <t>M19</t>
        </is>
      </c>
      <c r="B20" s="2" t="inlineStr">
        <is>
          <t>x19</t>
        </is>
      </c>
      <c r="C20" s="5" t="n">
        <v>1400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0</v>
      </c>
      <c r="I20" s="4" t="n">
        <v>12028.28</v>
      </c>
      <c r="J20" s="17" t="n">
        <v>0</v>
      </c>
      <c r="K20" s="5" t="n"/>
    </row>
    <row r="21" customFormat="1" s="2">
      <c r="A21" s="2" t="inlineStr">
        <is>
          <t>M20</t>
        </is>
      </c>
      <c r="B21" s="2" t="inlineStr">
        <is>
          <t>X20</t>
        </is>
      </c>
      <c r="C21" s="9" t="n">
        <v>2000000</v>
      </c>
      <c r="D21" s="2" t="n">
        <v>0</v>
      </c>
      <c r="E21" s="2" t="n">
        <v>0</v>
      </c>
      <c r="F21" s="2" t="n">
        <v>0</v>
      </c>
      <c r="G21" s="9" t="n">
        <v>200000</v>
      </c>
      <c r="H21" s="9" t="n">
        <v>0</v>
      </c>
      <c r="I21" s="9" t="n">
        <v>0</v>
      </c>
      <c r="J21" s="17" t="n">
        <v>0</v>
      </c>
    </row>
    <row r="22" ht="17" customHeight="1" s="18">
      <c r="A22" s="2" t="inlineStr">
        <is>
          <t>M21</t>
        </is>
      </c>
      <c r="B22" s="8" t="inlineStr">
        <is>
          <t>X21</t>
        </is>
      </c>
      <c r="C22" s="5" t="n">
        <v>10000</v>
      </c>
      <c r="D22" s="5" t="n">
        <v>1000</v>
      </c>
      <c r="E22" s="5" t="n">
        <v>0</v>
      </c>
      <c r="F22" s="5" t="n">
        <v>171</v>
      </c>
      <c r="G22" s="5" t="n">
        <v>100</v>
      </c>
      <c r="H22" s="5" t="n">
        <v>990</v>
      </c>
      <c r="I22" s="5" t="n">
        <v>976.98</v>
      </c>
      <c r="J22" s="5" t="n">
        <v>6000</v>
      </c>
      <c r="K22" s="5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K3" sqref="K3"/>
    </sheetView>
  </sheetViews>
  <sheetFormatPr baseColWidth="8" defaultColWidth="9" defaultRowHeight="16.8"/>
  <cols>
    <col width="18.25" customWidth="1" style="18" min="1" max="1"/>
    <col width="17.5" customWidth="1" style="18" min="9" max="9"/>
  </cols>
  <sheetData>
    <row r="1">
      <c r="A1" s="2" t="inlineStr">
        <is>
          <t>主产品</t>
        </is>
      </c>
      <c r="B1" s="2" t="inlineStr">
        <is>
          <t>变量</t>
        </is>
      </c>
      <c r="C1" s="2" t="inlineStr">
        <is>
          <t>最大产能</t>
        </is>
      </c>
      <c r="D1" s="2" t="inlineStr">
        <is>
          <t>最大库存</t>
        </is>
      </c>
      <c r="E1" s="2" t="inlineStr">
        <is>
          <t>最小库存</t>
        </is>
      </c>
      <c r="F1" s="2" t="inlineStr">
        <is>
          <t>期初库存</t>
        </is>
      </c>
      <c r="G1" s="2" t="inlineStr">
        <is>
          <t>销售量</t>
        </is>
      </c>
      <c r="H1" s="2" t="inlineStr">
        <is>
          <t>销售价</t>
        </is>
      </c>
      <c r="I1" s="2" t="inlineStr">
        <is>
          <t>单位制造成本</t>
        </is>
      </c>
      <c r="J1" s="2" t="inlineStr">
        <is>
          <t>计划产能</t>
        </is>
      </c>
    </row>
    <row r="2">
      <c r="A2" s="2" t="inlineStr">
        <is>
          <t>M01</t>
        </is>
      </c>
      <c r="B2" s="2" t="inlineStr">
        <is>
          <t>x1</t>
        </is>
      </c>
      <c r="C2" s="2" t="n">
        <v>10500</v>
      </c>
      <c r="D2" s="2" t="n">
        <v>3800</v>
      </c>
      <c r="E2" s="2" t="n">
        <v>400</v>
      </c>
      <c r="F2" s="2" t="n">
        <v>2386.42</v>
      </c>
      <c r="G2" s="2" t="n">
        <v>8000</v>
      </c>
      <c r="H2" s="2" t="n">
        <v>2300</v>
      </c>
      <c r="I2" s="2" t="n">
        <v>1303.02</v>
      </c>
      <c r="J2" s="2" t="n">
        <v>8950</v>
      </c>
    </row>
    <row r="3">
      <c r="A3" s="2" t="inlineStr">
        <is>
          <t>M02</t>
        </is>
      </c>
      <c r="B3" s="2" t="inlineStr">
        <is>
          <t>x2</t>
        </is>
      </c>
      <c r="C3" s="2" t="n">
        <v>3000</v>
      </c>
      <c r="D3" s="2" t="n">
        <v>200</v>
      </c>
      <c r="E3" s="2" t="n">
        <v>25</v>
      </c>
      <c r="F3" s="2" t="n">
        <v>0</v>
      </c>
      <c r="G3" s="2" t="n">
        <v>1000</v>
      </c>
      <c r="H3" s="2" t="n">
        <v>69</v>
      </c>
      <c r="I3" s="9" t="n">
        <v>356.74</v>
      </c>
      <c r="J3" s="2" t="n">
        <v>2400</v>
      </c>
    </row>
    <row r="4">
      <c r="A4" s="2" t="inlineStr">
        <is>
          <t>M03</t>
        </is>
      </c>
      <c r="B4" s="2" t="inlineStr">
        <is>
          <t>x3</t>
        </is>
      </c>
      <c r="C4" s="2" t="n">
        <v>3000</v>
      </c>
      <c r="D4" s="2" t="n">
        <v>23</v>
      </c>
      <c r="E4" s="2" t="n">
        <v>0</v>
      </c>
      <c r="F4" s="2" t="n">
        <v>16</v>
      </c>
      <c r="G4" s="2" t="n">
        <v>650</v>
      </c>
      <c r="H4" s="2" t="n">
        <v>297</v>
      </c>
      <c r="I4" s="2" t="n">
        <v>829.54</v>
      </c>
      <c r="J4" s="2" t="n">
        <v>0</v>
      </c>
    </row>
    <row r="5">
      <c r="A5" s="2" t="inlineStr">
        <is>
          <t>M04</t>
        </is>
      </c>
      <c r="B5" s="2" t="inlineStr">
        <is>
          <t>x4</t>
        </is>
      </c>
      <c r="C5" s="2" t="n">
        <v>6000</v>
      </c>
      <c r="D5" s="2" t="n">
        <v>200</v>
      </c>
      <c r="E5" s="2" t="n">
        <v>0</v>
      </c>
      <c r="F5" s="2" t="n">
        <v>94</v>
      </c>
      <c r="G5" s="2" t="n">
        <v>4000</v>
      </c>
      <c r="H5" s="2" t="n">
        <v>496</v>
      </c>
      <c r="I5" s="2" t="n">
        <v>369.9</v>
      </c>
      <c r="J5" s="2" t="n">
        <v>4050</v>
      </c>
    </row>
    <row r="6">
      <c r="A6" s="2" t="inlineStr">
        <is>
          <t>M05</t>
        </is>
      </c>
      <c r="B6" s="2" t="inlineStr">
        <is>
          <t>x5</t>
        </is>
      </c>
      <c r="C6" s="2" t="n">
        <v>4700</v>
      </c>
      <c r="D6" s="2" t="n">
        <v>180</v>
      </c>
      <c r="E6" s="2" t="n">
        <v>0</v>
      </c>
      <c r="F6" s="2" t="n">
        <v>36.2</v>
      </c>
      <c r="G6" s="2" t="n">
        <v>1899</v>
      </c>
      <c r="H6" s="2" t="n">
        <v>9500</v>
      </c>
      <c r="I6" s="2" t="n">
        <v>7654.12</v>
      </c>
      <c r="J6" s="2" t="n">
        <v>4600</v>
      </c>
    </row>
    <row r="7">
      <c r="A7" s="2" t="inlineStr">
        <is>
          <t>M06</t>
        </is>
      </c>
      <c r="B7" s="2" t="inlineStr">
        <is>
          <t>x6</t>
        </is>
      </c>
      <c r="C7" s="2" t="n">
        <v>600</v>
      </c>
      <c r="D7" s="2" t="n">
        <v>400</v>
      </c>
      <c r="E7" s="2" t="n">
        <v>0</v>
      </c>
      <c r="F7" s="2" t="n">
        <v>0</v>
      </c>
      <c r="G7" s="2" t="n">
        <v>100</v>
      </c>
      <c r="H7" s="2" t="n">
        <v>8825</v>
      </c>
      <c r="I7" s="2" t="n">
        <v>8094.8</v>
      </c>
      <c r="J7" s="2" t="n">
        <v>100</v>
      </c>
    </row>
    <row r="8">
      <c r="A8" s="2" t="inlineStr">
        <is>
          <t>M07</t>
        </is>
      </c>
      <c r="B8" s="2" t="inlineStr">
        <is>
          <t>x7</t>
        </is>
      </c>
      <c r="C8" s="2" t="n">
        <v>1500</v>
      </c>
      <c r="D8" s="9" t="n">
        <v>600</v>
      </c>
      <c r="E8" s="9" t="n">
        <v>0</v>
      </c>
      <c r="F8" s="9" t="n">
        <v>70.40000000000001</v>
      </c>
      <c r="G8" s="9" t="n">
        <v>0</v>
      </c>
      <c r="H8" s="9" t="n">
        <v>0</v>
      </c>
      <c r="I8" s="9" t="n">
        <v>9790.049999999999</v>
      </c>
      <c r="J8" s="9" t="n">
        <v>200</v>
      </c>
    </row>
    <row r="9">
      <c r="A9" s="2" t="inlineStr">
        <is>
          <t>M08</t>
        </is>
      </c>
      <c r="B9" s="2" t="inlineStr">
        <is>
          <t>x8</t>
        </is>
      </c>
      <c r="C9" s="2" t="n">
        <v>1000</v>
      </c>
      <c r="D9" s="2" t="n">
        <v>500</v>
      </c>
      <c r="E9" s="2" t="n">
        <v>0</v>
      </c>
      <c r="F9" s="2" t="n">
        <v>23</v>
      </c>
      <c r="G9" s="2" t="n">
        <v>300</v>
      </c>
      <c r="H9" s="2" t="n">
        <v>10385</v>
      </c>
      <c r="I9" s="2" t="n">
        <v>10428.13</v>
      </c>
      <c r="J9" s="2" t="n">
        <v>300</v>
      </c>
    </row>
    <row r="10">
      <c r="A10" s="2" t="inlineStr">
        <is>
          <t>M09</t>
        </is>
      </c>
      <c r="B10" s="2" t="inlineStr">
        <is>
          <t>x9</t>
        </is>
      </c>
      <c r="C10" s="2" t="n">
        <v>1500</v>
      </c>
      <c r="D10" s="2" t="n">
        <v>500</v>
      </c>
      <c r="E10" s="2" t="n">
        <v>0</v>
      </c>
      <c r="F10" s="2" t="n">
        <v>0</v>
      </c>
      <c r="G10" s="2" t="n">
        <v>300</v>
      </c>
      <c r="H10" s="2" t="n">
        <v>9935</v>
      </c>
      <c r="I10" s="2" t="n">
        <v>9251.790000000001</v>
      </c>
      <c r="J10" s="2" t="n">
        <v>300</v>
      </c>
    </row>
    <row r="11">
      <c r="A11" s="2" t="inlineStr">
        <is>
          <t>M10</t>
        </is>
      </c>
      <c r="B11" s="2" t="inlineStr">
        <is>
          <t>x10</t>
        </is>
      </c>
      <c r="C11" s="2" t="n">
        <v>1500</v>
      </c>
      <c r="D11" s="9" t="n">
        <v>600</v>
      </c>
      <c r="E11" s="9" t="n">
        <v>0</v>
      </c>
      <c r="F11" s="9" t="n">
        <v>6.4</v>
      </c>
      <c r="G11" s="9" t="n">
        <v>120</v>
      </c>
      <c r="H11" s="2" t="n">
        <v>8275</v>
      </c>
      <c r="I11" s="2" t="n">
        <v>7667.65</v>
      </c>
      <c r="J11" s="2" t="n">
        <v>120</v>
      </c>
    </row>
    <row r="12">
      <c r="A12" s="2" t="inlineStr">
        <is>
          <t>M11</t>
        </is>
      </c>
      <c r="B12" s="2" t="inlineStr">
        <is>
          <t>x11</t>
        </is>
      </c>
      <c r="C12" s="2" t="n">
        <v>3300</v>
      </c>
      <c r="D12" s="9" t="n">
        <v>1000</v>
      </c>
      <c r="E12" s="2" t="n">
        <v>0</v>
      </c>
      <c r="F12" s="2" t="n">
        <v>360.26</v>
      </c>
      <c r="G12" s="2" t="n">
        <v>1960</v>
      </c>
      <c r="H12" s="2" t="n">
        <v>9700</v>
      </c>
      <c r="I12" s="2" t="n">
        <v>8799.83</v>
      </c>
      <c r="J12" s="2" t="n">
        <v>1960</v>
      </c>
    </row>
    <row r="13">
      <c r="A13" s="2" t="inlineStr">
        <is>
          <t>M12</t>
        </is>
      </c>
      <c r="B13" s="2" t="inlineStr">
        <is>
          <t>x12</t>
        </is>
      </c>
      <c r="C13" s="2" t="n">
        <v>1800</v>
      </c>
      <c r="D13" s="9" t="n">
        <v>1000</v>
      </c>
      <c r="E13" s="9" t="n">
        <v>0</v>
      </c>
      <c r="F13" s="9" t="n">
        <v>0</v>
      </c>
      <c r="G13" s="9" t="n">
        <v>0</v>
      </c>
      <c r="H13" s="2" t="n">
        <v>9700</v>
      </c>
      <c r="I13" s="2" t="n">
        <v>8931.67</v>
      </c>
      <c r="J13" s="9" t="n">
        <v>0</v>
      </c>
    </row>
    <row r="14">
      <c r="A14" s="2" t="inlineStr">
        <is>
          <t>M13</t>
        </is>
      </c>
      <c r="B14" s="2" t="inlineStr">
        <is>
          <t>x13</t>
        </is>
      </c>
      <c r="C14" s="2" t="n">
        <v>1800</v>
      </c>
      <c r="D14" s="9" t="n">
        <v>200</v>
      </c>
      <c r="E14" s="9" t="n">
        <v>0</v>
      </c>
      <c r="F14" s="9" t="n">
        <v>0</v>
      </c>
      <c r="G14" s="9" t="n">
        <v>120</v>
      </c>
      <c r="H14" s="2" t="n">
        <v>9700</v>
      </c>
      <c r="I14" s="2" t="n">
        <v>8802.09</v>
      </c>
      <c r="J14" s="9" t="n">
        <v>0</v>
      </c>
    </row>
    <row r="15">
      <c r="A15" s="2" t="inlineStr">
        <is>
          <t>M14</t>
        </is>
      </c>
      <c r="B15" s="2" t="inlineStr">
        <is>
          <t>X14</t>
        </is>
      </c>
      <c r="C15" s="4" t="n">
        <v>4000</v>
      </c>
      <c r="D15" s="5" t="n">
        <v>2300</v>
      </c>
      <c r="E15" s="5" t="n">
        <v>100</v>
      </c>
      <c r="F15" s="5" t="n">
        <v>167.23</v>
      </c>
      <c r="G15" s="4" t="n">
        <v>100</v>
      </c>
      <c r="H15" s="4" t="n">
        <v>8350</v>
      </c>
      <c r="I15" s="4" t="n">
        <v>9646.76</v>
      </c>
      <c r="J15" s="5" t="n">
        <v>3000</v>
      </c>
      <c r="K15" s="5" t="n"/>
    </row>
    <row r="16">
      <c r="A16" s="2" t="inlineStr">
        <is>
          <t>M15</t>
        </is>
      </c>
      <c r="B16" s="2" t="inlineStr">
        <is>
          <t>x15</t>
        </is>
      </c>
      <c r="C16" s="2" t="n">
        <v>7000</v>
      </c>
      <c r="D16" s="2" t="n">
        <v>900</v>
      </c>
      <c r="E16" s="2" t="n">
        <v>0</v>
      </c>
      <c r="F16" s="2" t="n">
        <v>26</v>
      </c>
      <c r="G16" s="2" t="n">
        <v>6000</v>
      </c>
      <c r="H16" s="2" t="n">
        <v>8300</v>
      </c>
      <c r="I16" s="2" t="n">
        <v>7296.35</v>
      </c>
      <c r="J16" s="2" t="n">
        <v>6000</v>
      </c>
    </row>
    <row r="17">
      <c r="A17" s="8" t="inlineStr">
        <is>
          <t>M16</t>
        </is>
      </c>
      <c r="B17" s="8" t="inlineStr">
        <is>
          <t>X16</t>
        </is>
      </c>
      <c r="C17" s="8" t="n">
        <v>450</v>
      </c>
      <c r="D17" s="8" t="n">
        <v>0</v>
      </c>
      <c r="E17" s="8" t="n">
        <v>0</v>
      </c>
      <c r="F17" s="8" t="n">
        <v>37.98</v>
      </c>
      <c r="G17" s="8" t="n">
        <v>420</v>
      </c>
      <c r="H17" s="8" t="n">
        <v>10975</v>
      </c>
      <c r="I17" s="8" t="n">
        <v>0</v>
      </c>
      <c r="J17" s="8" t="n">
        <v>420</v>
      </c>
    </row>
    <row r="18">
      <c r="A18" s="8" t="inlineStr">
        <is>
          <t>M17</t>
        </is>
      </c>
      <c r="B18" s="8" t="inlineStr">
        <is>
          <t>X17</t>
        </is>
      </c>
      <c r="C18" s="8" t="n">
        <v>300</v>
      </c>
      <c r="D18" s="9" t="n">
        <v>0</v>
      </c>
      <c r="E18" s="9" t="n">
        <v>0</v>
      </c>
      <c r="F18" s="9" t="n">
        <v>0</v>
      </c>
      <c r="G18" s="9" t="n">
        <v>0</v>
      </c>
      <c r="H18" s="8" t="n">
        <v>19000</v>
      </c>
      <c r="I18" s="9" t="n">
        <v>0</v>
      </c>
      <c r="J18" s="9">
        <f>J2*0.025</f>
        <v/>
      </c>
    </row>
    <row r="19">
      <c r="A19" s="8" t="inlineStr">
        <is>
          <t>M18</t>
        </is>
      </c>
      <c r="B19" s="8" t="inlineStr">
        <is>
          <t>X18</t>
        </is>
      </c>
      <c r="C19" s="8" t="n">
        <v>9660</v>
      </c>
      <c r="D19" s="9" t="n">
        <v>0</v>
      </c>
      <c r="E19" s="9" t="n">
        <v>0</v>
      </c>
      <c r="F19" s="9" t="n">
        <v>0</v>
      </c>
      <c r="G19" s="9" t="n">
        <v>0</v>
      </c>
      <c r="H19" s="8" t="n">
        <v>297</v>
      </c>
      <c r="I19" s="9" t="n">
        <v>0</v>
      </c>
      <c r="J19" s="9">
        <f>J2*0.92</f>
        <v/>
      </c>
    </row>
    <row r="20">
      <c r="A20" s="2" t="inlineStr">
        <is>
          <t>M19</t>
        </is>
      </c>
      <c r="B20" s="2" t="inlineStr">
        <is>
          <t>x19</t>
        </is>
      </c>
      <c r="C20" s="2" t="n">
        <v>1400</v>
      </c>
      <c r="D20" s="2" t="n">
        <v>0</v>
      </c>
      <c r="E20" s="2" t="n">
        <v>0</v>
      </c>
      <c r="F20" s="2" t="n">
        <v>0</v>
      </c>
      <c r="G20" s="2" t="n">
        <v>0</v>
      </c>
      <c r="H20" s="9" t="n">
        <v>0</v>
      </c>
      <c r="I20" s="9" t="n">
        <v>12331.22</v>
      </c>
      <c r="J20" s="2">
        <f>J21*0.303</f>
        <v/>
      </c>
    </row>
    <row r="21" customFormat="1" s="2">
      <c r="A21" s="2" t="inlineStr">
        <is>
          <t>M20</t>
        </is>
      </c>
      <c r="B21" s="2" t="inlineStr">
        <is>
          <t>X20</t>
        </is>
      </c>
      <c r="C21" s="9" t="n">
        <v>2000000</v>
      </c>
      <c r="D21" s="2" t="n">
        <v>0</v>
      </c>
      <c r="E21" s="2" t="n">
        <v>0</v>
      </c>
      <c r="F21" s="2" t="n">
        <v>0</v>
      </c>
      <c r="G21" s="9" t="n">
        <v>200000</v>
      </c>
      <c r="H21" s="9" t="n">
        <v>0</v>
      </c>
      <c r="I21" s="9" t="n">
        <v>0</v>
      </c>
      <c r="J21" s="2">
        <f>J15*1.02</f>
        <v/>
      </c>
    </row>
    <row r="22">
      <c r="A22" s="2" t="inlineStr">
        <is>
          <t>M21</t>
        </is>
      </c>
      <c r="B22" s="8" t="inlineStr">
        <is>
          <t>X21</t>
        </is>
      </c>
      <c r="C22" s="5" t="n">
        <v>10000</v>
      </c>
      <c r="D22" s="5" t="n">
        <v>1000</v>
      </c>
      <c r="E22" s="5" t="n">
        <v>0</v>
      </c>
      <c r="F22" s="5" t="n">
        <v>80</v>
      </c>
      <c r="G22" s="5" t="n">
        <v>100</v>
      </c>
      <c r="H22" s="5" t="n">
        <v>990</v>
      </c>
      <c r="I22" s="5" t="n">
        <v>1043.82</v>
      </c>
      <c r="J22" s="5" t="n">
        <v>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L3" sqref="L3:P14"/>
    </sheetView>
  </sheetViews>
  <sheetFormatPr baseColWidth="8" defaultColWidth="9" defaultRowHeight="16.8"/>
  <cols>
    <col width="19.375" customWidth="1" style="18" min="1" max="1"/>
    <col width="9.5" customWidth="1" style="18" min="9" max="9"/>
  </cols>
  <sheetData>
    <row r="1">
      <c r="A1" s="2" t="inlineStr">
        <is>
          <t>主产品</t>
        </is>
      </c>
      <c r="B1" s="2" t="inlineStr">
        <is>
          <t>变量</t>
        </is>
      </c>
      <c r="C1" s="2" t="inlineStr">
        <is>
          <t>最大产能</t>
        </is>
      </c>
      <c r="D1" s="2" t="inlineStr">
        <is>
          <t>最大库存</t>
        </is>
      </c>
      <c r="E1" s="2" t="inlineStr">
        <is>
          <t>最小库存</t>
        </is>
      </c>
      <c r="F1" s="2" t="inlineStr">
        <is>
          <t>期初库存</t>
        </is>
      </c>
      <c r="G1" s="2" t="inlineStr">
        <is>
          <t>销售量</t>
        </is>
      </c>
      <c r="H1" s="2" t="inlineStr">
        <is>
          <t>销售价</t>
        </is>
      </c>
      <c r="I1" s="2" t="inlineStr">
        <is>
          <t>单位制造成本</t>
        </is>
      </c>
      <c r="J1" s="2" t="inlineStr">
        <is>
          <t>计划产能</t>
        </is>
      </c>
    </row>
    <row r="2">
      <c r="A2" s="2" t="inlineStr">
        <is>
          <t>M01</t>
        </is>
      </c>
      <c r="B2" s="2" t="inlineStr">
        <is>
          <t>x1</t>
        </is>
      </c>
      <c r="C2" s="2" t="n">
        <v>10500</v>
      </c>
      <c r="D2" s="2" t="n">
        <v>3800</v>
      </c>
      <c r="E2" s="2" t="n">
        <v>400</v>
      </c>
      <c r="F2" s="2" t="n">
        <v>1869.74</v>
      </c>
      <c r="G2" s="2" t="n">
        <v>7800</v>
      </c>
      <c r="H2" s="2" t="n">
        <v>2500</v>
      </c>
      <c r="I2" s="2" t="n">
        <v>1250</v>
      </c>
      <c r="J2" s="2" t="n">
        <v>8800</v>
      </c>
      <c r="K2" s="2" t="n"/>
    </row>
    <row r="3">
      <c r="A3" s="2" t="inlineStr">
        <is>
          <t>M02</t>
        </is>
      </c>
      <c r="B3" s="2" t="inlineStr">
        <is>
          <t>x2</t>
        </is>
      </c>
      <c r="C3" s="2" t="n">
        <v>3000</v>
      </c>
      <c r="D3" s="2" t="n">
        <v>200</v>
      </c>
      <c r="E3" s="2" t="n">
        <v>25</v>
      </c>
      <c r="F3" s="2" t="n">
        <v>0</v>
      </c>
      <c r="G3" s="2" t="n">
        <v>700</v>
      </c>
      <c r="H3" s="2" t="n">
        <v>69.3</v>
      </c>
      <c r="I3" s="9" t="n">
        <v>365</v>
      </c>
      <c r="J3" s="2" t="n">
        <v>2200</v>
      </c>
      <c r="K3" s="2" t="n"/>
    </row>
    <row r="4">
      <c r="A4" s="2" t="inlineStr">
        <is>
          <t>M03</t>
        </is>
      </c>
      <c r="B4" s="2" t="inlineStr">
        <is>
          <t>x3</t>
        </is>
      </c>
      <c r="C4" s="2" t="n">
        <v>3000</v>
      </c>
      <c r="D4" s="2" t="n">
        <v>23</v>
      </c>
      <c r="E4" s="2" t="n">
        <v>0</v>
      </c>
      <c r="F4" s="2" t="n">
        <v>8</v>
      </c>
      <c r="G4" s="2" t="n">
        <v>620</v>
      </c>
      <c r="H4" s="2" t="n">
        <v>297</v>
      </c>
      <c r="I4" s="2" t="n">
        <v>899.17</v>
      </c>
      <c r="J4" s="2" t="n">
        <v>620</v>
      </c>
      <c r="K4" s="2" t="n"/>
    </row>
    <row r="5">
      <c r="A5" s="2" t="inlineStr">
        <is>
          <t>M04</t>
        </is>
      </c>
      <c r="B5" s="2" t="inlineStr">
        <is>
          <t>x4</t>
        </is>
      </c>
      <c r="C5" s="2" t="n">
        <v>6000</v>
      </c>
      <c r="D5" s="2" t="n">
        <v>200</v>
      </c>
      <c r="E5" s="2" t="n">
        <v>0</v>
      </c>
      <c r="F5" s="2" t="n">
        <v>63</v>
      </c>
      <c r="G5" s="2" t="n">
        <v>3600</v>
      </c>
      <c r="H5" s="2" t="n">
        <v>496</v>
      </c>
      <c r="I5" s="2" t="n">
        <v>403.6</v>
      </c>
      <c r="J5" s="2" t="n">
        <v>3650</v>
      </c>
      <c r="K5" s="2" t="n"/>
    </row>
    <row r="6">
      <c r="A6" s="2" t="inlineStr">
        <is>
          <t>M05</t>
        </is>
      </c>
      <c r="B6" s="2" t="inlineStr">
        <is>
          <t>x5</t>
        </is>
      </c>
      <c r="C6" s="2" t="n">
        <v>4700</v>
      </c>
      <c r="D6" s="2" t="n">
        <v>180</v>
      </c>
      <c r="E6" s="2" t="n">
        <v>0</v>
      </c>
      <c r="F6" s="2" t="n">
        <v>16.7</v>
      </c>
      <c r="G6" s="2" t="n">
        <v>1109</v>
      </c>
      <c r="H6" s="2" t="n">
        <v>9000</v>
      </c>
      <c r="I6" s="2" t="n">
        <v>7265.07</v>
      </c>
      <c r="J6" s="2" t="n">
        <v>4600</v>
      </c>
      <c r="K6" s="2" t="n"/>
    </row>
    <row r="7" ht="17.55" customHeight="1" s="18">
      <c r="A7" s="2" t="inlineStr">
        <is>
          <t>M06</t>
        </is>
      </c>
      <c r="B7" s="2" t="inlineStr">
        <is>
          <t>x6</t>
        </is>
      </c>
      <c r="C7" s="2" t="n">
        <v>600</v>
      </c>
      <c r="D7" s="2" t="n">
        <v>400</v>
      </c>
      <c r="E7" s="2" t="n">
        <v>0</v>
      </c>
      <c r="F7" s="2" t="n">
        <v>0</v>
      </c>
      <c r="G7" s="2" t="n">
        <v>100</v>
      </c>
      <c r="H7" s="2" t="n">
        <v>8730</v>
      </c>
      <c r="I7" s="2" t="n">
        <v>7815.78</v>
      </c>
      <c r="J7" s="2" t="n">
        <v>100</v>
      </c>
      <c r="K7" s="2" t="n"/>
    </row>
    <row r="8" ht="26.75" customHeight="1" s="18">
      <c r="A8" s="2" t="inlineStr">
        <is>
          <t>M07</t>
        </is>
      </c>
      <c r="B8" s="2" t="inlineStr">
        <is>
          <t>x7</t>
        </is>
      </c>
      <c r="C8" s="2" t="n">
        <v>1500</v>
      </c>
      <c r="D8" s="9" t="n">
        <v>600</v>
      </c>
      <c r="E8" s="9" t="n">
        <v>0</v>
      </c>
      <c r="F8" s="9" t="n">
        <v>97.2</v>
      </c>
      <c r="G8" s="9" t="n">
        <v>0</v>
      </c>
      <c r="H8" s="9" t="n">
        <v>0</v>
      </c>
      <c r="I8" s="9" t="n">
        <v>9420.870000000001</v>
      </c>
      <c r="J8" s="9" t="n">
        <v>0</v>
      </c>
      <c r="K8" s="2" t="n"/>
      <c r="L8" s="10" t="n"/>
    </row>
    <row r="9" ht="27.5" customHeight="1" s="18">
      <c r="A9" s="2" t="inlineStr">
        <is>
          <t>M08</t>
        </is>
      </c>
      <c r="B9" s="2" t="inlineStr">
        <is>
          <t>x8</t>
        </is>
      </c>
      <c r="C9" s="2" t="n">
        <v>1000</v>
      </c>
      <c r="D9" s="2" t="n">
        <v>500</v>
      </c>
      <c r="E9" s="2" t="n">
        <v>0</v>
      </c>
      <c r="F9" s="2" t="n">
        <v>45.2</v>
      </c>
      <c r="G9" s="2" t="n">
        <v>300</v>
      </c>
      <c r="H9" s="2" t="n">
        <v>10190</v>
      </c>
      <c r="I9" s="2" t="n">
        <v>10022.05</v>
      </c>
      <c r="J9" s="2" t="n">
        <v>300</v>
      </c>
      <c r="K9" s="2" t="n"/>
      <c r="L9" s="11" t="n"/>
    </row>
    <row r="10" ht="26.75" customHeight="1" s="18">
      <c r="A10" s="2" t="inlineStr">
        <is>
          <t>M09</t>
        </is>
      </c>
      <c r="B10" s="2" t="inlineStr">
        <is>
          <t>x9</t>
        </is>
      </c>
      <c r="C10" s="2" t="n">
        <v>1500</v>
      </c>
      <c r="D10" s="2" t="n">
        <v>500</v>
      </c>
      <c r="E10" s="2" t="n">
        <v>0</v>
      </c>
      <c r="F10" s="2" t="n">
        <v>0</v>
      </c>
      <c r="G10" s="2" t="n">
        <v>300</v>
      </c>
      <c r="H10" s="2" t="n">
        <v>9740</v>
      </c>
      <c r="I10" s="2" t="n">
        <v>8845.709999999999</v>
      </c>
      <c r="J10" s="2" t="n">
        <v>300</v>
      </c>
      <c r="K10" s="2" t="n"/>
      <c r="L10" s="12" t="n"/>
    </row>
    <row r="11" ht="26.75" customHeight="1" s="18">
      <c r="A11" s="2" t="inlineStr">
        <is>
          <t>M10</t>
        </is>
      </c>
      <c r="B11" s="2" t="inlineStr">
        <is>
          <t>x10</t>
        </is>
      </c>
      <c r="C11" s="2" t="n">
        <v>1500</v>
      </c>
      <c r="D11" s="9" t="n">
        <v>600</v>
      </c>
      <c r="E11" s="9" t="n">
        <v>0</v>
      </c>
      <c r="F11" s="9" t="n">
        <v>0</v>
      </c>
      <c r="G11" s="9" t="n">
        <v>0</v>
      </c>
      <c r="H11" s="2" t="n">
        <v>8180</v>
      </c>
      <c r="I11" s="2" t="n">
        <v>7427.82</v>
      </c>
      <c r="J11" s="2" t="n">
        <v>200</v>
      </c>
      <c r="K11" s="2" t="n"/>
      <c r="L11" s="13" t="n"/>
    </row>
    <row r="12">
      <c r="A12" s="2" t="inlineStr">
        <is>
          <t>M11</t>
        </is>
      </c>
      <c r="B12" s="2" t="inlineStr">
        <is>
          <t>x11</t>
        </is>
      </c>
      <c r="C12" s="2" t="n">
        <v>3300</v>
      </c>
      <c r="D12" s="9" t="n">
        <v>1000</v>
      </c>
      <c r="E12" s="2" t="n">
        <v>0</v>
      </c>
      <c r="F12" s="2" t="n">
        <v>536.66</v>
      </c>
      <c r="G12" s="2" t="n">
        <v>2740</v>
      </c>
      <c r="H12" s="2" t="n">
        <v>9500</v>
      </c>
      <c r="I12" s="19" t="n">
        <v>8396.200000000001</v>
      </c>
      <c r="J12" s="2" t="n">
        <v>2740</v>
      </c>
      <c r="K12" s="2" t="n"/>
    </row>
    <row r="13">
      <c r="A13" s="2" t="inlineStr">
        <is>
          <t>M12</t>
        </is>
      </c>
      <c r="B13" s="2" t="inlineStr">
        <is>
          <t>x12</t>
        </is>
      </c>
      <c r="C13" s="2" t="n">
        <v>1800</v>
      </c>
      <c r="D13" s="9" t="n">
        <v>1000</v>
      </c>
      <c r="E13" s="9" t="n">
        <v>0</v>
      </c>
      <c r="F13" s="9" t="n">
        <v>0</v>
      </c>
      <c r="G13" s="9" t="n">
        <v>0</v>
      </c>
      <c r="H13" s="2" t="n">
        <v>9500</v>
      </c>
      <c r="I13" s="2" t="n">
        <v>8527.290000000001</v>
      </c>
      <c r="J13" s="9" t="n">
        <v>0</v>
      </c>
      <c r="K13" s="2" t="n"/>
    </row>
    <row r="14">
      <c r="A14" s="2" t="inlineStr">
        <is>
          <t>M13</t>
        </is>
      </c>
      <c r="B14" s="2" t="inlineStr">
        <is>
          <t>x13</t>
        </is>
      </c>
      <c r="C14" s="2" t="n">
        <v>1800</v>
      </c>
      <c r="D14" s="9" t="n">
        <v>200</v>
      </c>
      <c r="E14" s="9" t="n">
        <v>0</v>
      </c>
      <c r="F14" s="9" t="n">
        <v>0</v>
      </c>
      <c r="G14" s="9" t="n">
        <v>160</v>
      </c>
      <c r="H14" s="2" t="n">
        <v>9500</v>
      </c>
      <c r="I14" s="2" t="n">
        <v>8411.780000000001</v>
      </c>
      <c r="J14" s="9" t="n">
        <v>0</v>
      </c>
      <c r="K14" s="2" t="n"/>
    </row>
    <row r="15">
      <c r="A15" s="2" t="inlineStr">
        <is>
          <t>M14</t>
        </is>
      </c>
      <c r="B15" s="2" t="inlineStr">
        <is>
          <t>X14</t>
        </is>
      </c>
      <c r="C15" s="4" t="n">
        <v>4000</v>
      </c>
      <c r="D15" s="5" t="n">
        <v>2300</v>
      </c>
      <c r="E15" s="5" t="n">
        <v>100</v>
      </c>
      <c r="F15" s="5" t="n">
        <v>642.79</v>
      </c>
      <c r="G15" s="4" t="n">
        <v>400</v>
      </c>
      <c r="H15" s="4" t="n">
        <v>8350</v>
      </c>
      <c r="I15" s="4" t="n">
        <v>9445.200000000001</v>
      </c>
      <c r="J15" s="5" t="n">
        <v>2800</v>
      </c>
      <c r="K15" s="5" t="n"/>
    </row>
    <row r="16">
      <c r="A16" s="2" t="inlineStr">
        <is>
          <t>M15</t>
        </is>
      </c>
      <c r="B16" s="2" t="inlineStr">
        <is>
          <t>x15</t>
        </is>
      </c>
      <c r="C16" s="2" t="n">
        <v>7000</v>
      </c>
      <c r="D16" s="2" t="n">
        <v>900</v>
      </c>
      <c r="E16" s="2" t="n">
        <v>0</v>
      </c>
      <c r="F16" s="2" t="n">
        <v>64.8</v>
      </c>
      <c r="G16" s="2" t="n">
        <v>6000</v>
      </c>
      <c r="H16" s="2" t="n">
        <v>7700</v>
      </c>
      <c r="I16" s="2" t="n">
        <v>7110.79</v>
      </c>
      <c r="J16" s="2" t="n">
        <v>6000</v>
      </c>
      <c r="K16" s="2" t="n"/>
    </row>
    <row r="17">
      <c r="A17" s="8" t="inlineStr">
        <is>
          <t>M16</t>
        </is>
      </c>
      <c r="B17" s="8" t="inlineStr">
        <is>
          <t>X16</t>
        </is>
      </c>
      <c r="C17" s="8" t="n">
        <v>450</v>
      </c>
      <c r="D17" s="8" t="n">
        <v>0</v>
      </c>
      <c r="E17" s="8" t="n">
        <v>0</v>
      </c>
      <c r="F17" s="8" t="n">
        <v>32.79</v>
      </c>
      <c r="G17" s="8" t="n">
        <v>420</v>
      </c>
      <c r="H17" s="8" t="n">
        <v>11070</v>
      </c>
      <c r="I17" s="8" t="n">
        <v>0</v>
      </c>
      <c r="J17" s="8" t="n">
        <v>420</v>
      </c>
      <c r="K17" s="2" t="n"/>
    </row>
    <row r="18">
      <c r="A18" s="8" t="inlineStr">
        <is>
          <t>M17</t>
        </is>
      </c>
      <c r="B18" s="8" t="inlineStr">
        <is>
          <t>X17</t>
        </is>
      </c>
      <c r="C18" s="8" t="n">
        <v>300</v>
      </c>
      <c r="D18" s="9" t="n">
        <v>0</v>
      </c>
      <c r="E18" s="9" t="n">
        <v>0</v>
      </c>
      <c r="F18" s="9" t="n">
        <v>0</v>
      </c>
      <c r="G18" s="9" t="n">
        <v>0</v>
      </c>
      <c r="H18" s="8" t="n">
        <v>19000</v>
      </c>
      <c r="I18" s="9" t="n">
        <v>0</v>
      </c>
      <c r="J18" s="9">
        <f>J2*0.025</f>
        <v/>
      </c>
      <c r="K18" s="2" t="n"/>
    </row>
    <row r="19">
      <c r="A19" s="8" t="inlineStr">
        <is>
          <t>M18</t>
        </is>
      </c>
      <c r="B19" s="8" t="inlineStr">
        <is>
          <t>X18</t>
        </is>
      </c>
      <c r="C19" s="8" t="n">
        <v>9660</v>
      </c>
      <c r="D19" s="9" t="n">
        <v>0</v>
      </c>
      <c r="E19" s="9" t="n">
        <v>0</v>
      </c>
      <c r="F19" s="9" t="n">
        <v>0</v>
      </c>
      <c r="G19" s="9" t="n">
        <v>0</v>
      </c>
      <c r="H19" s="8" t="n">
        <v>379</v>
      </c>
      <c r="I19" s="9" t="n">
        <v>0</v>
      </c>
      <c r="J19" s="9">
        <f>J2*0.92</f>
        <v/>
      </c>
      <c r="K19" s="2" t="n"/>
    </row>
    <row r="20">
      <c r="A20" s="2" t="inlineStr">
        <is>
          <t>M19</t>
        </is>
      </c>
      <c r="B20" s="2" t="inlineStr">
        <is>
          <t>x19</t>
        </is>
      </c>
      <c r="C20" s="2" t="n">
        <v>1400</v>
      </c>
      <c r="D20" s="2" t="n">
        <v>0</v>
      </c>
      <c r="E20" s="2" t="n">
        <v>0</v>
      </c>
      <c r="F20" s="2" t="n">
        <v>0</v>
      </c>
      <c r="G20" s="2" t="n">
        <v>0</v>
      </c>
      <c r="H20" s="9" t="n">
        <v>0</v>
      </c>
      <c r="I20" s="9" t="n">
        <v>11277.79</v>
      </c>
      <c r="J20" s="2">
        <f>J21*0.303</f>
        <v/>
      </c>
      <c r="K20" s="2" t="n"/>
    </row>
    <row r="21" customFormat="1" s="2">
      <c r="A21" s="2" t="inlineStr">
        <is>
          <t>M20</t>
        </is>
      </c>
      <c r="B21" s="2" t="inlineStr">
        <is>
          <t>X20</t>
        </is>
      </c>
      <c r="C21" s="9" t="n">
        <v>2000000</v>
      </c>
      <c r="D21" s="2" t="n">
        <v>0</v>
      </c>
      <c r="E21" s="2" t="n">
        <v>0</v>
      </c>
      <c r="F21" s="2" t="n">
        <v>0</v>
      </c>
      <c r="G21" s="9" t="n">
        <v>200000</v>
      </c>
      <c r="H21" s="9" t="n">
        <v>0</v>
      </c>
      <c r="I21" s="9" t="n">
        <v>0</v>
      </c>
      <c r="J21" s="2">
        <f>J15*1.02</f>
        <v/>
      </c>
    </row>
    <row r="22">
      <c r="A22" s="2" t="inlineStr">
        <is>
          <t>M21</t>
        </is>
      </c>
      <c r="C22" s="5" t="n">
        <v>10000</v>
      </c>
      <c r="D22" s="5" t="n">
        <v>1000</v>
      </c>
      <c r="E22" s="5" t="n">
        <v>0</v>
      </c>
      <c r="F22" s="5" t="n">
        <v>236</v>
      </c>
      <c r="G22" s="5" t="n">
        <v>100</v>
      </c>
      <c r="H22" s="5" t="n">
        <v>1040</v>
      </c>
      <c r="I22" s="5" t="n">
        <v>1083.81</v>
      </c>
      <c r="J22" s="5" t="n">
        <v>6400</v>
      </c>
      <c r="K22" s="5" t="n"/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N6" sqref="N6"/>
    </sheetView>
  </sheetViews>
  <sheetFormatPr baseColWidth="8" defaultColWidth="9" defaultRowHeight="16.8"/>
  <cols>
    <col width="16.5" customWidth="1" style="18" min="1" max="1"/>
    <col width="9.5" customWidth="1" style="18" min="9" max="9"/>
  </cols>
  <sheetData>
    <row r="1">
      <c r="A1" s="2" t="inlineStr">
        <is>
          <t>主产品</t>
        </is>
      </c>
      <c r="B1" s="2" t="inlineStr">
        <is>
          <t>变量</t>
        </is>
      </c>
      <c r="C1" s="2" t="inlineStr">
        <is>
          <t>最大产能</t>
        </is>
      </c>
      <c r="D1" s="2" t="inlineStr">
        <is>
          <t>最大库存</t>
        </is>
      </c>
      <c r="E1" s="2" t="inlineStr">
        <is>
          <t>最小库存</t>
        </is>
      </c>
      <c r="F1" s="2" t="inlineStr">
        <is>
          <t>期初库存</t>
        </is>
      </c>
      <c r="G1" s="2" t="inlineStr">
        <is>
          <t>销售量</t>
        </is>
      </c>
      <c r="H1" s="2" t="inlineStr">
        <is>
          <t>销售价</t>
        </is>
      </c>
      <c r="I1" s="2" t="inlineStr">
        <is>
          <t>单位制造成本</t>
        </is>
      </c>
      <c r="J1" s="2" t="inlineStr">
        <is>
          <t>计划产能</t>
        </is>
      </c>
    </row>
    <row r="2">
      <c r="A2" s="2" t="inlineStr">
        <is>
          <t>M01</t>
        </is>
      </c>
      <c r="B2" s="2" t="inlineStr">
        <is>
          <t>x1</t>
        </is>
      </c>
      <c r="C2" s="2" t="n">
        <v>10500</v>
      </c>
      <c r="D2" s="2" t="n">
        <v>3800</v>
      </c>
      <c r="E2" s="2" t="n">
        <v>400</v>
      </c>
      <c r="F2" s="2" t="n">
        <v>961.26</v>
      </c>
      <c r="G2" s="2" t="n">
        <v>8000</v>
      </c>
      <c r="H2" s="2" t="n">
        <v>2750</v>
      </c>
      <c r="I2" s="2" t="n">
        <v>1198.06</v>
      </c>
      <c r="J2" s="2" t="n">
        <v>8600</v>
      </c>
    </row>
    <row r="3">
      <c r="A3" s="2" t="inlineStr">
        <is>
          <t>M02</t>
        </is>
      </c>
      <c r="B3" s="2" t="inlineStr">
        <is>
          <t>x2</t>
        </is>
      </c>
      <c r="C3" s="2" t="n">
        <v>3000</v>
      </c>
      <c r="D3" s="2" t="n">
        <v>200</v>
      </c>
      <c r="E3" s="2" t="n">
        <v>25</v>
      </c>
      <c r="F3" s="2" t="n">
        <v>0</v>
      </c>
      <c r="G3" s="2" t="n">
        <v>1000</v>
      </c>
      <c r="H3" s="2" t="n">
        <v>39.6</v>
      </c>
      <c r="I3" s="9" t="n">
        <v>379.34</v>
      </c>
      <c r="J3" s="2" t="n">
        <v>2200</v>
      </c>
    </row>
    <row r="4">
      <c r="A4" s="2" t="inlineStr">
        <is>
          <t>M03</t>
        </is>
      </c>
      <c r="B4" s="2" t="inlineStr">
        <is>
          <t>x3</t>
        </is>
      </c>
      <c r="C4" s="2" t="n">
        <v>3000</v>
      </c>
      <c r="D4" s="2" t="n">
        <v>23</v>
      </c>
      <c r="E4" s="2" t="n">
        <v>0</v>
      </c>
      <c r="F4" s="2" t="n">
        <v>11</v>
      </c>
      <c r="G4" s="2" t="n">
        <v>650</v>
      </c>
      <c r="H4" s="2" t="n">
        <v>297</v>
      </c>
      <c r="I4" s="2" t="n">
        <v>899.17</v>
      </c>
      <c r="J4" s="2" t="n">
        <v>650</v>
      </c>
    </row>
    <row r="5">
      <c r="A5" s="2" t="inlineStr">
        <is>
          <t>M04</t>
        </is>
      </c>
      <c r="B5" s="2" t="inlineStr">
        <is>
          <t>x4</t>
        </is>
      </c>
      <c r="C5" s="2" t="n">
        <v>6000</v>
      </c>
      <c r="D5" s="2" t="n">
        <v>200</v>
      </c>
      <c r="E5" s="2" t="n">
        <v>0</v>
      </c>
      <c r="F5" s="2" t="n">
        <v>138</v>
      </c>
      <c r="G5" s="2" t="n">
        <v>4000</v>
      </c>
      <c r="H5" s="2" t="n">
        <v>496</v>
      </c>
      <c r="I5" s="2" t="n">
        <v>434.85</v>
      </c>
      <c r="J5" s="2" t="n">
        <v>3550</v>
      </c>
    </row>
    <row r="6">
      <c r="A6" s="2" t="inlineStr">
        <is>
          <t>M05</t>
        </is>
      </c>
      <c r="B6" s="2" t="inlineStr">
        <is>
          <t>x5</t>
        </is>
      </c>
      <c r="C6" s="2" t="n">
        <v>4700</v>
      </c>
      <c r="D6" s="2" t="n">
        <v>180</v>
      </c>
      <c r="E6" s="2" t="n">
        <v>0</v>
      </c>
      <c r="F6" s="2" t="n">
        <v>75.40000000000001</v>
      </c>
      <c r="G6" s="2" t="n">
        <v>1899</v>
      </c>
      <c r="H6" s="2" t="n">
        <v>9500</v>
      </c>
      <c r="I6" s="2" t="n">
        <v>7052.5</v>
      </c>
      <c r="J6" s="2" t="n">
        <v>4450</v>
      </c>
    </row>
    <row r="7">
      <c r="A7" s="2" t="inlineStr">
        <is>
          <t>M06</t>
        </is>
      </c>
      <c r="B7" s="2" t="inlineStr">
        <is>
          <t>x6</t>
        </is>
      </c>
      <c r="C7" s="2" t="n">
        <v>600</v>
      </c>
      <c r="D7" s="2" t="n">
        <v>400</v>
      </c>
      <c r="E7" s="2" t="n">
        <v>0</v>
      </c>
      <c r="F7" s="2" t="n">
        <v>0</v>
      </c>
      <c r="G7" s="2" t="n">
        <v>100</v>
      </c>
      <c r="H7" s="2" t="n">
        <v>9165</v>
      </c>
      <c r="I7" s="2" t="n">
        <v>8100.7</v>
      </c>
      <c r="J7" s="2" t="n">
        <v>100</v>
      </c>
    </row>
    <row r="8">
      <c r="A8" s="2" t="inlineStr">
        <is>
          <t>M07</t>
        </is>
      </c>
      <c r="B8" s="2" t="inlineStr">
        <is>
          <t>x7</t>
        </is>
      </c>
      <c r="C8" s="2" t="n">
        <v>1500</v>
      </c>
      <c r="D8" s="9" t="n">
        <v>600</v>
      </c>
      <c r="E8" s="9" t="n">
        <v>0</v>
      </c>
      <c r="F8" s="9" t="n">
        <v>137.6</v>
      </c>
      <c r="G8" s="9" t="n">
        <v>0</v>
      </c>
      <c r="H8" s="9" t="n">
        <v>0</v>
      </c>
      <c r="I8" s="9" t="n">
        <v>9911.030000000001</v>
      </c>
      <c r="J8" s="9" t="n">
        <v>0</v>
      </c>
    </row>
    <row r="9">
      <c r="A9" s="2" t="inlineStr">
        <is>
          <t>M08</t>
        </is>
      </c>
      <c r="B9" s="2" t="inlineStr">
        <is>
          <t>x8</t>
        </is>
      </c>
      <c r="C9" s="2" t="n">
        <v>1000</v>
      </c>
      <c r="D9" s="2" t="n">
        <v>500</v>
      </c>
      <c r="E9" s="2" t="n">
        <v>0</v>
      </c>
      <c r="F9" s="2" t="n">
        <v>46.8</v>
      </c>
      <c r="G9" s="2" t="n">
        <v>300</v>
      </c>
      <c r="H9" s="2" t="n">
        <v>10875</v>
      </c>
      <c r="I9" s="2" t="n">
        <v>10495.67</v>
      </c>
      <c r="J9" s="2" t="n">
        <v>300</v>
      </c>
    </row>
    <row r="10">
      <c r="A10" s="2" t="inlineStr">
        <is>
          <t>M09</t>
        </is>
      </c>
      <c r="B10" s="2" t="inlineStr">
        <is>
          <t>x9</t>
        </is>
      </c>
      <c r="C10" s="2" t="n">
        <v>1500</v>
      </c>
      <c r="D10" s="2" t="n">
        <v>500</v>
      </c>
      <c r="E10" s="2" t="n">
        <v>0</v>
      </c>
      <c r="F10" s="2" t="n">
        <v>0</v>
      </c>
      <c r="G10" s="2" t="n">
        <v>300</v>
      </c>
      <c r="H10" s="2" t="n">
        <v>10425</v>
      </c>
      <c r="I10" s="2" t="n">
        <v>9319.33</v>
      </c>
      <c r="J10" s="2" t="n">
        <v>300</v>
      </c>
    </row>
    <row r="11">
      <c r="A11" s="2" t="inlineStr">
        <is>
          <t>M10</t>
        </is>
      </c>
      <c r="B11" s="2" t="inlineStr">
        <is>
          <t>x10</t>
        </is>
      </c>
      <c r="C11" s="2" t="n">
        <v>1500</v>
      </c>
      <c r="D11" s="9" t="n">
        <v>600</v>
      </c>
      <c r="E11" s="9" t="n">
        <v>0</v>
      </c>
      <c r="F11" s="9" t="n">
        <v>0</v>
      </c>
      <c r="G11" s="9" t="n">
        <v>120</v>
      </c>
      <c r="H11" s="2" t="n">
        <v>8565</v>
      </c>
      <c r="I11" s="2" t="n">
        <v>7673.55</v>
      </c>
      <c r="J11" s="2" t="n">
        <v>200</v>
      </c>
    </row>
    <row r="12">
      <c r="A12" s="2" t="inlineStr">
        <is>
          <t>M11</t>
        </is>
      </c>
      <c r="B12" s="2" t="inlineStr">
        <is>
          <t>x11</t>
        </is>
      </c>
      <c r="C12" s="2" t="n">
        <v>3300</v>
      </c>
      <c r="D12" s="9" t="n">
        <v>1000</v>
      </c>
      <c r="E12" s="2" t="n">
        <v>0</v>
      </c>
      <c r="F12" s="2" t="n">
        <v>99.59</v>
      </c>
      <c r="G12" s="2" t="n">
        <v>1960</v>
      </c>
      <c r="H12" s="2" t="n">
        <v>10200</v>
      </c>
      <c r="I12" s="2" t="n">
        <v>8834.66</v>
      </c>
      <c r="J12" s="2" t="n">
        <v>2780</v>
      </c>
    </row>
    <row r="13">
      <c r="A13" s="2" t="inlineStr">
        <is>
          <t>M12</t>
        </is>
      </c>
      <c r="B13" s="2" t="inlineStr">
        <is>
          <t>x12</t>
        </is>
      </c>
      <c r="C13" s="2" t="n">
        <v>1800</v>
      </c>
      <c r="D13" s="9" t="n">
        <v>1000</v>
      </c>
      <c r="E13" s="9" t="n">
        <v>0</v>
      </c>
      <c r="F13" s="9" t="n">
        <v>0</v>
      </c>
      <c r="G13" s="9" t="n">
        <v>0</v>
      </c>
      <c r="H13" s="2" t="n">
        <v>10200</v>
      </c>
      <c r="I13" s="2" t="n">
        <v>8967.620000000001</v>
      </c>
      <c r="J13" s="9" t="n">
        <v>0</v>
      </c>
    </row>
    <row r="14">
      <c r="A14" s="2" t="inlineStr">
        <is>
          <t>M13</t>
        </is>
      </c>
      <c r="B14" s="2" t="inlineStr">
        <is>
          <t>x13</t>
        </is>
      </c>
      <c r="C14" s="2" t="n">
        <v>1800</v>
      </c>
      <c r="D14" s="9" t="n">
        <v>200</v>
      </c>
      <c r="E14" s="9" t="n">
        <v>0</v>
      </c>
      <c r="F14" s="9" t="n">
        <v>0</v>
      </c>
      <c r="G14" s="9" t="n">
        <v>120</v>
      </c>
      <c r="H14" s="2" t="n">
        <v>10200</v>
      </c>
      <c r="I14" s="2" t="n">
        <v>8872.059999999999</v>
      </c>
      <c r="J14" s="9" t="n">
        <v>0</v>
      </c>
    </row>
    <row r="15">
      <c r="A15" s="2" t="inlineStr">
        <is>
          <t>M14</t>
        </is>
      </c>
      <c r="B15" s="2" t="inlineStr">
        <is>
          <t>X14</t>
        </is>
      </c>
      <c r="C15" s="4" t="n">
        <v>4000</v>
      </c>
      <c r="D15" s="5" t="n">
        <v>2300</v>
      </c>
      <c r="E15" s="5" t="n">
        <v>100</v>
      </c>
      <c r="F15" s="5" t="n">
        <v>1343.19</v>
      </c>
      <c r="G15" s="4" t="n">
        <v>400</v>
      </c>
      <c r="H15" s="4" t="n">
        <v>8600</v>
      </c>
      <c r="I15" s="4" t="n">
        <v>9617.73</v>
      </c>
      <c r="J15" s="5" t="n">
        <v>2600</v>
      </c>
      <c r="K15" s="5" t="n"/>
    </row>
    <row r="16">
      <c r="A16" s="2" t="inlineStr">
        <is>
          <t>M15</t>
        </is>
      </c>
      <c r="B16" s="2" t="inlineStr">
        <is>
          <t>x15</t>
        </is>
      </c>
      <c r="C16" s="2" t="n">
        <v>7000</v>
      </c>
      <c r="D16" s="2" t="n">
        <v>900</v>
      </c>
      <c r="E16" s="2" t="n">
        <v>0</v>
      </c>
      <c r="F16" s="2" t="n">
        <v>7.5</v>
      </c>
      <c r="G16" s="2" t="n">
        <v>6000</v>
      </c>
      <c r="H16" s="2" t="n">
        <v>8600</v>
      </c>
      <c r="I16" s="19" t="n">
        <v>7588.4</v>
      </c>
      <c r="J16" s="2" t="n">
        <v>6000</v>
      </c>
    </row>
    <row r="17">
      <c r="A17" s="8" t="inlineStr">
        <is>
          <t>M16</t>
        </is>
      </c>
      <c r="B17" s="8" t="inlineStr">
        <is>
          <t>X16</t>
        </is>
      </c>
      <c r="C17" s="8" t="n">
        <v>450</v>
      </c>
      <c r="D17" s="8" t="n">
        <v>0</v>
      </c>
      <c r="E17" s="8" t="n">
        <v>0</v>
      </c>
      <c r="F17" s="8" t="n">
        <v>6.95</v>
      </c>
      <c r="G17" s="8" t="n">
        <v>420</v>
      </c>
      <c r="H17" s="8" t="n">
        <v>10390</v>
      </c>
      <c r="I17" s="8" t="n">
        <v>0</v>
      </c>
      <c r="J17" s="8" t="n">
        <v>420</v>
      </c>
    </row>
    <row r="18">
      <c r="A18" s="8" t="inlineStr">
        <is>
          <t>M17</t>
        </is>
      </c>
      <c r="B18" s="8" t="inlineStr">
        <is>
          <t>X17</t>
        </is>
      </c>
      <c r="C18" s="8" t="n">
        <v>300</v>
      </c>
      <c r="D18" s="9" t="n">
        <v>0</v>
      </c>
      <c r="E18" s="9" t="n">
        <v>0</v>
      </c>
      <c r="F18" s="9" t="n">
        <v>0</v>
      </c>
      <c r="G18" s="9" t="n">
        <v>0</v>
      </c>
      <c r="H18" s="8" t="n">
        <v>19000</v>
      </c>
      <c r="I18" s="9" t="n">
        <v>0</v>
      </c>
      <c r="J18" s="9">
        <f>J2*0.025</f>
        <v/>
      </c>
    </row>
    <row r="19">
      <c r="A19" s="8" t="inlineStr">
        <is>
          <t>M18</t>
        </is>
      </c>
      <c r="B19" s="8" t="inlineStr">
        <is>
          <t>X18</t>
        </is>
      </c>
      <c r="C19" s="8" t="n">
        <v>9660</v>
      </c>
      <c r="D19" s="9" t="n">
        <v>0</v>
      </c>
      <c r="E19" s="9" t="n">
        <v>0</v>
      </c>
      <c r="F19" s="9" t="n">
        <v>0</v>
      </c>
      <c r="G19" s="9" t="n">
        <v>0</v>
      </c>
      <c r="H19" s="8" t="n">
        <v>379</v>
      </c>
      <c r="I19" s="9" t="n">
        <v>0</v>
      </c>
      <c r="J19" s="9">
        <f>J2*0.82</f>
        <v/>
      </c>
    </row>
    <row r="20">
      <c r="A20" s="2" t="inlineStr">
        <is>
          <t>M19</t>
        </is>
      </c>
      <c r="B20" s="2" t="inlineStr">
        <is>
          <t>x19</t>
        </is>
      </c>
      <c r="C20" s="2" t="n">
        <v>1400</v>
      </c>
      <c r="D20" s="2" t="n">
        <v>0</v>
      </c>
      <c r="E20" s="2" t="n">
        <v>0</v>
      </c>
      <c r="F20" s="2" t="n">
        <v>0</v>
      </c>
      <c r="G20" s="2" t="n">
        <v>0</v>
      </c>
      <c r="H20" s="9" t="n">
        <v>0</v>
      </c>
      <c r="I20" s="9" t="n">
        <v>11711.7</v>
      </c>
      <c r="J20" s="2">
        <f>J21*0.303</f>
        <v/>
      </c>
    </row>
    <row r="21" customFormat="1" s="2">
      <c r="A21" s="2" t="inlineStr">
        <is>
          <t>M20</t>
        </is>
      </c>
      <c r="B21" s="2" t="inlineStr">
        <is>
          <t>X20</t>
        </is>
      </c>
      <c r="C21" s="9" t="n">
        <v>2000000</v>
      </c>
      <c r="D21" s="2" t="n">
        <v>0</v>
      </c>
      <c r="E21" s="2" t="n">
        <v>0</v>
      </c>
      <c r="F21" s="2" t="n">
        <v>0</v>
      </c>
      <c r="G21" s="9" t="n">
        <v>200000</v>
      </c>
      <c r="H21" s="9" t="n">
        <v>0</v>
      </c>
      <c r="I21" s="9" t="n">
        <v>0</v>
      </c>
      <c r="J21" s="2">
        <f>J15*1.02</f>
        <v/>
      </c>
    </row>
    <row r="22">
      <c r="A22" s="2" t="inlineStr">
        <is>
          <t>M21</t>
        </is>
      </c>
      <c r="C22" s="5" t="n">
        <v>10000</v>
      </c>
      <c r="D22" s="5" t="n">
        <v>1000</v>
      </c>
      <c r="E22" s="5" t="n">
        <v>0</v>
      </c>
      <c r="F22" s="5" t="n">
        <v>238</v>
      </c>
      <c r="G22" s="5" t="n">
        <v>100</v>
      </c>
      <c r="H22" s="5" t="n">
        <v>1090</v>
      </c>
      <c r="I22" s="5" t="n">
        <v>1103.47</v>
      </c>
      <c r="J22" s="5" t="n">
        <v>6300</v>
      </c>
      <c r="K22" s="5" t="n"/>
    </row>
  </sheetData>
  <pageMargins left="0.75" right="0.75" top="1" bottom="1" header="0.5" footer="0.5"/>
  <pageSetup orientation="portrait" paperSize="9" horizontalDpi="300" verticalDpi="300"/>
</worksheet>
</file>